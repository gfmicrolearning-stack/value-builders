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LCULATOR" sheetId="2" state="visible" r:id="rId4"/>
    <sheet name="EXAMP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<sst xmlns="http://schemas.openxmlformats.org/spreadsheetml/2006/main" count="88" uniqueCount="61">
  <si>
    <t xml:space="preserve">VALUE BUILDERS — Willingness-to-Pay Calculator</t>
  </si>
  <si>
    <t xml:space="preserve">What it does: quantifies what your product is worth to the customer — in €/unit — and turns it into a defendable price.</t>
  </si>
  <si>
    <t xml:space="preserve">HOW TO USE (4 steps, ~30 minutes for your first product):</t>
  </si>
  <si>
    <t xml:space="preserve">1. SETUP — name the customer segment and the next-best alternative (NBA). No NBA = no reference point = guessing.</t>
  </si>
  <si>
    <t xml:space="preserve">2. VALUE DRIVERS — list where you beat the NBA. Quantify each in €/unit. Apply a proof factor: the share of that value</t>
  </si>
  <si>
    <t xml:space="preserve">    the CUSTOMER believes today (your lab data is not their belief). Enter disadvantages as negative — honesty makes the number defendable.</t>
  </si>
  <si>
    <t xml:space="preserve">3. RESULTS — the WTP ceiling is NBA price + differentiation value. Choose how much value to capture (30-60% typical in B2B).</t>
  </si>
  <si>
    <t xml:space="preserve">    Leave the rest on the table visibly: that surplus is the customer's reason to say yes.</t>
  </si>
  <si>
    <t xml:space="preserve">4. VALIDATE — co-create the inputs with the customer where possible. People don't argue with their own data.</t>
  </si>
  <si>
    <t xml:space="preserve">DOS:</t>
  </si>
  <si>
    <t xml:space="preserve">• Use the customer's numbers for impact (their yields, their labor costs, their downtime)</t>
  </si>
  <si>
    <t xml:space="preserve">• Update the proof factor as you build evidence — every field trial raises your ceiling</t>
  </si>
  <si>
    <t xml:space="preserve">• Rebuild per segment: WTP differs by segment, so should price</t>
  </si>
  <si>
    <t xml:space="preserve">DON'TS:</t>
  </si>
  <si>
    <t xml:space="preserve">• Don't count value the customer can't verify — it will be attacked and the whole model loses credibility</t>
  </si>
  <si>
    <t xml:space="preserve">• Don't capture 100% of the differentiation value — a deal with no customer surplus doesn't close</t>
  </si>
  <si>
    <t xml:space="preserve">• Don't start from cost. Cost is your floor, never your logic.</t>
  </si>
  <si>
    <t xml:space="preserve">Sheets: CALCULATOR (blank, yours) | EXAMPLE (filled: fungicide vs competitor standard, €/ha)</t>
  </si>
  <si>
    <t xml:space="preserve">Free tool from Value Builders — value-based pricing + AI for commercial professionals.</t>
  </si>
  <si>
    <t xml:space="preserve">More tools: https://gfmicrolearning-stack.github.io/value-builders/  |  Newsletter: https://valuebuilders.substack.com</t>
  </si>
  <si>
    <t xml:space="preserve">Price from customer value, not from cost. Fill blue cells only.</t>
  </si>
  <si>
    <t xml:space="preserve">1. SETUP</t>
  </si>
  <si>
    <t xml:space="preserve">Product / offer</t>
  </si>
  <si>
    <t xml:space="preserve">Customer segment</t>
  </si>
  <si>
    <t xml:space="preserve">Unit of value (€/ha, €/hour, €/unit...)</t>
  </si>
  <si>
    <t xml:space="preserve">Next-best alternative (NBA)</t>
  </si>
  <si>
    <t xml:space="preserve">NBA price (per unit)</t>
  </si>
  <si>
    <t xml:space="preserve">2. VALUE DRIVERS vs NEXT-BEST ALTERNATIVE</t>
  </si>
  <si>
    <t xml:space="preserve">Value driver</t>
  </si>
  <si>
    <t xml:space="preserve">Type</t>
  </si>
  <si>
    <t xml:space="preserve">Impact (€/unit)</t>
  </si>
  <si>
    <t xml:space="preserve">Proof factor (%)</t>
  </si>
  <si>
    <t xml:space="preserve">Value counted (€/unit)</t>
  </si>
  <si>
    <t xml:space="preserve">Evidence / source (their numbers, not yours)</t>
  </si>
  <si>
    <t xml:space="preserve">Disadvantages vs NBA (enter Impact as NEGATIVE €)</t>
  </si>
  <si>
    <t xml:space="preserve">TOTAL DIFFERENTIATION VALUE (per unit)</t>
  </si>
  <si>
    <t xml:space="preserve">3. RESULTS — PRICE FROM VALUE</t>
  </si>
  <si>
    <t xml:space="preserve">WTP ceiling (NBA price + total differentiation value)</t>
  </si>
  <si>
    <t xml:space="preserve">Value share you capture (%) — 30-60% is the usual B2B range</t>
  </si>
  <si>
    <t xml:space="preserve">RECOMMENDED PRICE (per unit)</t>
  </si>
  <si>
    <t xml:space="preserve">Price band — conservative (30% share)</t>
  </si>
  <si>
    <t xml:space="preserve">Price band — ambitious (60% share)</t>
  </si>
  <si>
    <t xml:space="preserve">Value the customer keeps (their reason to say yes)</t>
  </si>
  <si>
    <t xml:space="preserve">Sanity check: if Total differentiation value is negative, you have a value problem, not a pricing problem.</t>
  </si>
  <si>
    <t xml:space="preserve">Your value story: "You pay [price], you get [WTP ceiling worth of outcomes], you keep [customer surplus]."</t>
  </si>
  <si>
    <t xml:space="preserve">CropShield Pro fungicide</t>
  </si>
  <si>
    <t xml:space="preserve">Cereal growers, 100-500 ha</t>
  </si>
  <si>
    <t xml:space="preserve">€/ha</t>
  </si>
  <si>
    <t xml:space="preserve">Competitor standard fungicide</t>
  </si>
  <si>
    <t xml:space="preserve">One application avoided (labor + fuel + machine)</t>
  </si>
  <si>
    <t xml:space="preserve">Cost saved</t>
  </si>
  <si>
    <t xml:space="preserve">Customer field records, avg of 3 seasons</t>
  </si>
  <si>
    <t xml:space="preserve">Yield protection +2% (8 t/ha × €200/t)</t>
  </si>
  <si>
    <t xml:space="preserve">Economic gain</t>
  </si>
  <si>
    <t xml:space="preserve">Own trials 2024-25; confirm with their agronomist</t>
  </si>
  <si>
    <t xml:space="preserve">Longer protection window — re-spray risk avoided</t>
  </si>
  <si>
    <t xml:space="preserve">Risk reduced</t>
  </si>
  <si>
    <t xml:space="preserve">Label data + local technical advisor</t>
  </si>
  <si>
    <t xml:space="preserve">New application protocol — training effort</t>
  </si>
  <si>
    <t xml:space="preserve">Extra effort</t>
  </si>
  <si>
    <t xml:space="preserve">One-time, first season only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</si>
</sst>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€ &quot;#,##0.00"/>
    <numFmt numFmtId="166" formatCode="0%"/>
    <numFmt numFmtId="167" formatCode="&quot;€ &quot;#,##0.00;&quot;(€ &quot;#,##0.00\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162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i val="true"/>
      <sz val="9"/>
      <color rgb="FFB00000"/>
      <name val="Arial"/>
      <family val="0"/>
      <charset val="1"/>
    </font>
    <font>
      <b val="true"/>
      <sz val="11"/>
      <color rgb="FF2BB67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BB673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2BB673"/>
        <bgColor rgb="FF33CCCC"/>
      </patternFill>
    </fill>
    <fill>
      <patternFill patternType="solid">
        <fgColor rgb="FFFFF7CC"/>
        <bgColor rgb="FFF2F5F8"/>
      </patternFill>
    </fill>
    <fill>
      <patternFill patternType="solid">
        <fgColor rgb="FFF2F5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7CC"/>
      <rgbColor rgb="FFF2F5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BB673"/>
      <rgbColor rgb="FF0A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 t="s">
        <v>18</v>
      </c>
    </row>
    <row r="26" customFormat="false" ht="15" hidden="false" customHeight="false" outlineLevel="0" collapsed="false">
      <c r="A26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2"/>
  </cols>
  <sheetData>
    <row r="1" customFormat="false" ht="27.75" hidden="false" customHeight="true" outlineLevel="0" collapsed="false">
      <c r="A1" s="4" t="s">
        <v>0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20</v>
      </c>
    </row>
    <row r="4" customFormat="false" ht="15" hidden="false" customHeight="false" outlineLevel="0" collapsed="false">
      <c r="A4" s="6" t="s">
        <v>21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2" t="s">
        <v>22</v>
      </c>
      <c r="B5" s="7"/>
    </row>
    <row r="6" customFormat="false" ht="15" hidden="false" customHeight="false" outlineLevel="0" collapsed="false">
      <c r="A6" s="2" t="s">
        <v>23</v>
      </c>
      <c r="B6" s="7"/>
    </row>
    <row r="7" customFormat="false" ht="15" hidden="false" customHeight="false" outlineLevel="0" collapsed="false">
      <c r="A7" s="2" t="s">
        <v>24</v>
      </c>
      <c r="B7" s="7"/>
    </row>
    <row r="8" customFormat="false" ht="15" hidden="false" customHeight="false" outlineLevel="0" collapsed="false">
      <c r="A8" s="2" t="s">
        <v>25</v>
      </c>
      <c r="B8" s="7"/>
    </row>
    <row r="9" customFormat="false" ht="15" hidden="false" customHeight="false" outlineLevel="0" collapsed="false">
      <c r="A9" s="2" t="s">
        <v>26</v>
      </c>
      <c r="B9" s="8"/>
    </row>
    <row r="11" customFormat="false" ht="15" hidden="false" customHeight="false" outlineLevel="0" collapsed="false">
      <c r="A11" s="6" t="s">
        <v>27</v>
      </c>
      <c r="B11" s="6"/>
      <c r="C11" s="6"/>
      <c r="D11" s="6"/>
      <c r="E11" s="6"/>
      <c r="F11" s="6"/>
    </row>
    <row r="12" customFormat="false" ht="15" hidden="false" customHeight="false" outlineLevel="0" collapsed="false">
      <c r="A12" s="9" t="s">
        <v>28</v>
      </c>
      <c r="B12" s="9" t="s">
        <v>29</v>
      </c>
      <c r="C12" s="9" t="s">
        <v>30</v>
      </c>
      <c r="D12" s="9" t="s">
        <v>31</v>
      </c>
      <c r="E12" s="9" t="s">
        <v>32</v>
      </c>
      <c r="F12" s="9" t="s">
        <v>33</v>
      </c>
    </row>
    <row r="13" customFormat="false" ht="15" hidden="false" customHeight="false" outlineLevel="0" collapsed="false">
      <c r="A13" s="10"/>
      <c r="B13" s="10"/>
      <c r="C13" s="11"/>
      <c r="D13" s="12"/>
      <c r="E13" s="13" t="n">
        <f aca="false">IF(OR(C13="",D13=""),0,C13*D13)</f>
        <v>0</v>
      </c>
      <c r="F13" s="10"/>
    </row>
    <row r="14" customFormat="false" ht="15" hidden="false" customHeight="false" outlineLevel="0" collapsed="false">
      <c r="A14" s="10"/>
      <c r="B14" s="10"/>
      <c r="C14" s="11"/>
      <c r="D14" s="12"/>
      <c r="E14" s="13" t="n">
        <f aca="false">IF(OR(C14="",D14=""),0,C14*D14)</f>
        <v>0</v>
      </c>
      <c r="F14" s="10"/>
    </row>
    <row r="15" customFormat="false" ht="15" hidden="false" customHeight="false" outlineLevel="0" collapsed="false">
      <c r="A15" s="10"/>
      <c r="B15" s="10"/>
      <c r="C15" s="11"/>
      <c r="D15" s="12"/>
      <c r="E15" s="13" t="n">
        <f aca="false">IF(OR(C15="",D15=""),0,C15*D15)</f>
        <v>0</v>
      </c>
      <c r="F15" s="10"/>
    </row>
    <row r="16" customFormat="false" ht="15" hidden="false" customHeight="false" outlineLevel="0" collapsed="false">
      <c r="A16" s="10"/>
      <c r="B16" s="10"/>
      <c r="C16" s="11"/>
      <c r="D16" s="12"/>
      <c r="E16" s="13" t="n">
        <f aca="false">IF(OR(C16="",D16=""),0,C16*D16)</f>
        <v>0</v>
      </c>
      <c r="F16" s="10"/>
    </row>
    <row r="17" customFormat="false" ht="15" hidden="false" customHeight="false" outlineLevel="0" collapsed="false">
      <c r="A17" s="10"/>
      <c r="B17" s="10"/>
      <c r="C17" s="11"/>
      <c r="D17" s="12"/>
      <c r="E17" s="13" t="n">
        <f aca="false">IF(OR(C17="",D17=""),0,C17*D17)</f>
        <v>0</v>
      </c>
      <c r="F17" s="10"/>
    </row>
    <row r="18" customFormat="false" ht="15" hidden="false" customHeight="false" outlineLevel="0" collapsed="false">
      <c r="A18" s="10"/>
      <c r="B18" s="10"/>
      <c r="C18" s="11"/>
      <c r="D18" s="12"/>
      <c r="E18" s="13" t="n">
        <f aca="false">IF(OR(C18="",D18=""),0,C18*D18)</f>
        <v>0</v>
      </c>
      <c r="F18" s="10"/>
    </row>
    <row r="19" customFormat="false" ht="15" hidden="false" customHeight="false" outlineLevel="0" collapsed="false">
      <c r="A19" s="10"/>
      <c r="B19" s="10"/>
      <c r="C19" s="11"/>
      <c r="D19" s="12"/>
      <c r="E19" s="13" t="n">
        <f aca="false">IF(OR(C19="",D19=""),0,C19*D19)</f>
        <v>0</v>
      </c>
      <c r="F19" s="10"/>
    </row>
    <row r="20" customFormat="false" ht="15" hidden="false" customHeight="false" outlineLevel="0" collapsed="false">
      <c r="A20" s="10"/>
      <c r="B20" s="10"/>
      <c r="C20" s="11"/>
      <c r="D20" s="12"/>
      <c r="E20" s="13" t="n">
        <f aca="false">IF(OR(C20="",D20=""),0,C20*D20)</f>
        <v>0</v>
      </c>
      <c r="F20" s="10"/>
    </row>
    <row r="21" customFormat="false" ht="15" hidden="false" customHeight="false" outlineLevel="0" collapsed="false">
      <c r="A21" s="14" t="s">
        <v>34</v>
      </c>
    </row>
    <row r="22" customFormat="false" ht="15" hidden="false" customHeight="false" outlineLevel="0" collapsed="false">
      <c r="A22" s="10"/>
      <c r="B22" s="10"/>
      <c r="C22" s="15"/>
      <c r="D22" s="12"/>
      <c r="E22" s="16" t="n">
        <f aca="false">IF(OR(C22="",D22=""),0,C22*D22)</f>
        <v>0</v>
      </c>
      <c r="F22" s="10"/>
    </row>
    <row r="23" customFormat="false" ht="15" hidden="false" customHeight="false" outlineLevel="0" collapsed="false">
      <c r="A23" s="10"/>
      <c r="B23" s="10"/>
      <c r="C23" s="15"/>
      <c r="D23" s="12"/>
      <c r="E23" s="16" t="n">
        <f aca="false">IF(OR(C23="",D23=""),0,C23*D23)</f>
        <v>0</v>
      </c>
      <c r="F23" s="10"/>
    </row>
    <row r="24" customFormat="false" ht="15" hidden="false" customHeight="false" outlineLevel="0" collapsed="false">
      <c r="A24" s="3" t="s">
        <v>35</v>
      </c>
      <c r="E24" s="17" t="n">
        <f aca="false">SUM(E13:E23)</f>
        <v>0</v>
      </c>
    </row>
    <row r="26" customFormat="false" ht="15" hidden="false" customHeight="false" outlineLevel="0" collapsed="false">
      <c r="A26" s="6" t="s">
        <v>36</v>
      </c>
      <c r="B26" s="6"/>
      <c r="C26" s="6"/>
      <c r="D26" s="6"/>
      <c r="E26" s="6"/>
      <c r="F26" s="6"/>
    </row>
    <row r="27" customFormat="false" ht="15" hidden="false" customHeight="false" outlineLevel="0" collapsed="false">
      <c r="A27" s="3" t="s">
        <v>37</v>
      </c>
      <c r="E27" s="18" t="n">
        <f aca="false">B9+E24</f>
        <v>0</v>
      </c>
    </row>
    <row r="28" customFormat="false" ht="15" hidden="false" customHeight="false" outlineLevel="0" collapsed="false">
      <c r="A28" s="0" t="s">
        <v>38</v>
      </c>
      <c r="B28" s="19" t="n">
        <v>0.4</v>
      </c>
    </row>
    <row r="29" customFormat="false" ht="15" hidden="false" customHeight="false" outlineLevel="0" collapsed="false">
      <c r="A29" s="3" t="s">
        <v>39</v>
      </c>
      <c r="E29" s="20" t="n">
        <f aca="false">B9+B28*E24</f>
        <v>0</v>
      </c>
    </row>
    <row r="30" customFormat="false" ht="15" hidden="false" customHeight="false" outlineLevel="0" collapsed="false">
      <c r="A30" s="2" t="s">
        <v>40</v>
      </c>
      <c r="E30" s="21" t="n">
        <f aca="false">B9+0.3*E24</f>
        <v>0</v>
      </c>
    </row>
    <row r="31" customFormat="false" ht="15" hidden="false" customHeight="false" outlineLevel="0" collapsed="false">
      <c r="A31" s="2" t="s">
        <v>41</v>
      </c>
      <c r="E31" s="21" t="n">
        <f aca="false">B9+0.6*E24</f>
        <v>0</v>
      </c>
    </row>
    <row r="32" customFormat="false" ht="15" hidden="false" customHeight="false" outlineLevel="0" collapsed="false">
      <c r="A32" s="2" t="s">
        <v>42</v>
      </c>
      <c r="E32" s="21" t="n">
        <f aca="false">E27-E29</f>
        <v>0</v>
      </c>
    </row>
    <row r="34" customFormat="false" ht="15" hidden="false" customHeight="false" outlineLevel="0" collapsed="false">
      <c r="A34" s="5" t="s">
        <v>43</v>
      </c>
    </row>
    <row r="36" customFormat="false" ht="15" hidden="false" customHeight="false" outlineLevel="0" collapsed="false">
      <c r="A36" s="5" t="s">
        <v>44</v>
      </c>
    </row>
  </sheetData>
  <mergeCells count="4">
    <mergeCell ref="A1:F1"/>
    <mergeCell ref="A4:F4"/>
    <mergeCell ref="A11:F11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2"/>
  </cols>
  <sheetData>
    <row r="1" customFormat="false" ht="27.75" hidden="false" customHeight="true" outlineLevel="0" collapsed="false">
      <c r="A1" s="4" t="s">
        <v>0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20</v>
      </c>
    </row>
    <row r="4" customFormat="false" ht="15" hidden="false" customHeight="false" outlineLevel="0" collapsed="false">
      <c r="A4" s="6" t="s">
        <v>21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2" t="s">
        <v>22</v>
      </c>
      <c r="B5" s="7" t="s">
        <v>45</v>
      </c>
    </row>
    <row r="6" customFormat="false" ht="15" hidden="false" customHeight="false" outlineLevel="0" collapsed="false">
      <c r="A6" s="2" t="s">
        <v>23</v>
      </c>
      <c r="B6" s="7" t="s">
        <v>46</v>
      </c>
    </row>
    <row r="7" customFormat="false" ht="15" hidden="false" customHeight="false" outlineLevel="0" collapsed="false">
      <c r="A7" s="2" t="s">
        <v>24</v>
      </c>
      <c r="B7" s="7" t="s">
        <v>47</v>
      </c>
    </row>
    <row r="8" customFormat="false" ht="15" hidden="false" customHeight="false" outlineLevel="0" collapsed="false">
      <c r="A8" s="2" t="s">
        <v>25</v>
      </c>
      <c r="B8" s="7" t="s">
        <v>48</v>
      </c>
    </row>
    <row r="9" customFormat="false" ht="15" hidden="false" customHeight="false" outlineLevel="0" collapsed="false">
      <c r="A9" s="2" t="s">
        <v>26</v>
      </c>
      <c r="B9" s="8" t="n">
        <v>45</v>
      </c>
    </row>
    <row r="11" customFormat="false" ht="15" hidden="false" customHeight="false" outlineLevel="0" collapsed="false">
      <c r="A11" s="6" t="s">
        <v>27</v>
      </c>
      <c r="B11" s="6"/>
      <c r="C11" s="6"/>
      <c r="D11" s="6"/>
      <c r="E11" s="6"/>
      <c r="F11" s="6"/>
    </row>
    <row r="12" customFormat="false" ht="15" hidden="false" customHeight="false" outlineLevel="0" collapsed="false">
      <c r="A12" s="9" t="s">
        <v>28</v>
      </c>
      <c r="B12" s="9" t="s">
        <v>29</v>
      </c>
      <c r="C12" s="9" t="s">
        <v>30</v>
      </c>
      <c r="D12" s="9" t="s">
        <v>31</v>
      </c>
      <c r="E12" s="9" t="s">
        <v>32</v>
      </c>
      <c r="F12" s="9" t="s">
        <v>33</v>
      </c>
    </row>
    <row r="13" customFormat="false" ht="15" hidden="false" customHeight="false" outlineLevel="0" collapsed="false">
      <c r="A13" s="10" t="s">
        <v>49</v>
      </c>
      <c r="B13" s="10" t="s">
        <v>50</v>
      </c>
      <c r="C13" s="11" t="n">
        <v>12</v>
      </c>
      <c r="D13" s="12" t="n">
        <v>0.8</v>
      </c>
      <c r="E13" s="13" t="n">
        <f aca="false">IF(OR(C13="",D13=""),0,C13*D13)</f>
        <v>9.6</v>
      </c>
      <c r="F13" s="10" t="s">
        <v>51</v>
      </c>
    </row>
    <row r="14" customFormat="false" ht="15" hidden="false" customHeight="false" outlineLevel="0" collapsed="false">
      <c r="A14" s="10" t="s">
        <v>52</v>
      </c>
      <c r="B14" s="10" t="s">
        <v>53</v>
      </c>
      <c r="C14" s="11" t="n">
        <v>32</v>
      </c>
      <c r="D14" s="12" t="n">
        <v>0.6</v>
      </c>
      <c r="E14" s="13" t="n">
        <f aca="false">IF(OR(C14="",D14=""),0,C14*D14)</f>
        <v>19.2</v>
      </c>
      <c r="F14" s="10" t="s">
        <v>54</v>
      </c>
    </row>
    <row r="15" customFormat="false" ht="15" hidden="false" customHeight="false" outlineLevel="0" collapsed="false">
      <c r="A15" s="10" t="s">
        <v>55</v>
      </c>
      <c r="B15" s="10" t="s">
        <v>56</v>
      </c>
      <c r="C15" s="11" t="n">
        <v>6</v>
      </c>
      <c r="D15" s="12" t="n">
        <v>0.7</v>
      </c>
      <c r="E15" s="13" t="n">
        <f aca="false">IF(OR(C15="",D15=""),0,C15*D15)</f>
        <v>4.2</v>
      </c>
      <c r="F15" s="10" t="s">
        <v>57</v>
      </c>
    </row>
    <row r="16" customFormat="false" ht="15" hidden="false" customHeight="false" outlineLevel="0" collapsed="false">
      <c r="A16" s="10"/>
      <c r="B16" s="10"/>
      <c r="C16" s="11"/>
      <c r="D16" s="12"/>
      <c r="E16" s="13" t="n">
        <f aca="false">IF(OR(C16="",D16=""),0,C16*D16)</f>
        <v>0</v>
      </c>
      <c r="F16" s="10"/>
    </row>
    <row r="17" customFormat="false" ht="15" hidden="false" customHeight="false" outlineLevel="0" collapsed="false">
      <c r="A17" s="10"/>
      <c r="B17" s="10"/>
      <c r="C17" s="11"/>
      <c r="D17" s="12"/>
      <c r="E17" s="13" t="n">
        <f aca="false">IF(OR(C17="",D17=""),0,C17*D17)</f>
        <v>0</v>
      </c>
      <c r="F17" s="10"/>
    </row>
    <row r="18" customFormat="false" ht="15" hidden="false" customHeight="false" outlineLevel="0" collapsed="false">
      <c r="A18" s="10"/>
      <c r="B18" s="10"/>
      <c r="C18" s="11"/>
      <c r="D18" s="12"/>
      <c r="E18" s="13" t="n">
        <f aca="false">IF(OR(C18="",D18=""),0,C18*D18)</f>
        <v>0</v>
      </c>
      <c r="F18" s="10"/>
    </row>
    <row r="19" customFormat="false" ht="15" hidden="false" customHeight="false" outlineLevel="0" collapsed="false">
      <c r="A19" s="10"/>
      <c r="B19" s="10"/>
      <c r="C19" s="11"/>
      <c r="D19" s="12"/>
      <c r="E19" s="13" t="n">
        <f aca="false">IF(OR(C19="",D19=""),0,C19*D19)</f>
        <v>0</v>
      </c>
      <c r="F19" s="10"/>
    </row>
    <row r="20" customFormat="false" ht="15" hidden="false" customHeight="false" outlineLevel="0" collapsed="false">
      <c r="A20" s="10"/>
      <c r="B20" s="10"/>
      <c r="C20" s="11"/>
      <c r="D20" s="12"/>
      <c r="E20" s="13" t="n">
        <f aca="false">IF(OR(C20="",D20=""),0,C20*D20)</f>
        <v>0</v>
      </c>
      <c r="F20" s="10"/>
    </row>
    <row r="21" customFormat="false" ht="15" hidden="false" customHeight="false" outlineLevel="0" collapsed="false">
      <c r="A21" s="14" t="s">
        <v>34</v>
      </c>
    </row>
    <row r="22" customFormat="false" ht="15" hidden="false" customHeight="false" outlineLevel="0" collapsed="false">
      <c r="A22" s="10" t="s">
        <v>58</v>
      </c>
      <c r="B22" s="10" t="s">
        <v>59</v>
      </c>
      <c r="C22" s="15" t="n">
        <v>-3</v>
      </c>
      <c r="D22" s="12" t="n">
        <v>1</v>
      </c>
      <c r="E22" s="16" t="n">
        <f aca="false">IF(OR(C22="",D22=""),0,C22*D22)</f>
        <v>-3</v>
      </c>
      <c r="F22" s="10" t="s">
        <v>60</v>
      </c>
    </row>
    <row r="23" customFormat="false" ht="15" hidden="false" customHeight="false" outlineLevel="0" collapsed="false">
      <c r="A23" s="10"/>
      <c r="B23" s="10"/>
      <c r="C23" s="15"/>
      <c r="D23" s="12"/>
      <c r="E23" s="16" t="n">
        <f aca="false">IF(OR(C23="",D23=""),0,C23*D23)</f>
        <v>0</v>
      </c>
      <c r="F23" s="10"/>
    </row>
    <row r="24" customFormat="false" ht="15" hidden="false" customHeight="false" outlineLevel="0" collapsed="false">
      <c r="A24" s="3" t="s">
        <v>35</v>
      </c>
      <c r="E24" s="17" t="n">
        <f aca="false">SUM(E13:E23)</f>
        <v>30</v>
      </c>
    </row>
    <row r="26" customFormat="false" ht="15" hidden="false" customHeight="false" outlineLevel="0" collapsed="false">
      <c r="A26" s="6" t="s">
        <v>36</v>
      </c>
      <c r="B26" s="6"/>
      <c r="C26" s="6"/>
      <c r="D26" s="6"/>
      <c r="E26" s="6"/>
      <c r="F26" s="6"/>
    </row>
    <row r="27" customFormat="false" ht="15" hidden="false" customHeight="false" outlineLevel="0" collapsed="false">
      <c r="A27" s="3" t="s">
        <v>37</v>
      </c>
      <c r="E27" s="18" t="n">
        <f aca="false">B9+E24</f>
        <v>75</v>
      </c>
    </row>
    <row r="28" customFormat="false" ht="15" hidden="false" customHeight="false" outlineLevel="0" collapsed="false">
      <c r="A28" s="0" t="s">
        <v>38</v>
      </c>
      <c r="B28" s="19" t="n">
        <v>0.4</v>
      </c>
    </row>
    <row r="29" customFormat="false" ht="15" hidden="false" customHeight="false" outlineLevel="0" collapsed="false">
      <c r="A29" s="3" t="s">
        <v>39</v>
      </c>
      <c r="E29" s="20" t="n">
        <f aca="false">B9+B28*E24</f>
        <v>57</v>
      </c>
    </row>
    <row r="30" customFormat="false" ht="15" hidden="false" customHeight="false" outlineLevel="0" collapsed="false">
      <c r="A30" s="2" t="s">
        <v>40</v>
      </c>
      <c r="E30" s="21" t="n">
        <f aca="false">B9+0.3*E24</f>
        <v>54</v>
      </c>
    </row>
    <row r="31" customFormat="false" ht="15" hidden="false" customHeight="false" outlineLevel="0" collapsed="false">
      <c r="A31" s="2" t="s">
        <v>41</v>
      </c>
      <c r="E31" s="21" t="n">
        <f aca="false">B9+0.6*E24</f>
        <v>63</v>
      </c>
    </row>
    <row r="32" customFormat="false" ht="15" hidden="false" customHeight="false" outlineLevel="0" collapsed="false">
      <c r="A32" s="2" t="s">
        <v>42</v>
      </c>
      <c r="E32" s="21" t="n">
        <f aca="false">E27-E29</f>
        <v>18</v>
      </c>
    </row>
    <row r="34" customFormat="false" ht="15" hidden="false" customHeight="false" outlineLevel="0" collapsed="false">
      <c r="A34" s="5" t="s">
        <v>43</v>
      </c>
    </row>
    <row r="36" customFormat="false" ht="15" hidden="false" customHeight="false" outlineLevel="0" collapsed="false">
      <c r="A36" s="5" t="s">
        <v>44</v>
      </c>
    </row>
  </sheetData>
  <mergeCells count="4">
    <mergeCell ref="A1:F1"/>
    <mergeCell ref="A4:F4"/>
    <mergeCell ref="A11:F11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2026-07-04T19:25:34Z</dcterms:created>
  <dc:creator>openpyxl</dc:creator>
  <dc:description/>
  <dc:language>en-US</dc:language>
  <cp:lastModifiedBy/>
  <dcterms:modified xsi:type="dcterms:W3CDTF">2026-07-04T19:25:34Z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